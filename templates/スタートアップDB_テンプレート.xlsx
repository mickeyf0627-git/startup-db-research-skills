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サマリ" sheetId="1" state="visible" r:id="rId1"/>
    <sheet xmlns:r="http://schemas.openxmlformats.org/officeDocument/2006/relationships" name="②項目定義" sheetId="2" state="visible" r:id="rId2"/>
    <sheet xmlns:r="http://schemas.openxmlformats.org/officeDocument/2006/relationships" name="③スタートアップDB" sheetId="3" state="visible" r:id="rId3"/>
    <sheet xmlns:r="http://schemas.openxmlformats.org/officeDocument/2006/relationships" name="④マッチングDB" sheetId="4" state="visible" r:id="rId4"/>
  </sheets>
  <definedNames>
    <definedName name="_xlnm._FilterDatabase" localSheetId="2" hidden="1">'③スタートアップDB'!$A$4:$AO$5</definedName>
    <definedName name="_xlnm._FilterDatabase" localSheetId="3" hidden="1">'④マッチングDB'!$A$4:$AY$5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001F3864"/>
      <sz val="14"/>
    </font>
    <font>
      <name val="Meiryo UI"/>
      <color rgb="00595959"/>
      <sz val="9"/>
    </font>
    <font>
      <name val="Meiryo UI"/>
      <b val="1"/>
      <color rgb="00FFFFFF"/>
      <sz val="10"/>
    </font>
    <font>
      <name val="Meiryo UI"/>
      <b val="1"/>
      <color rgb="001F3864"/>
      <sz val="12"/>
    </font>
    <font>
      <name val="Meiryo UI"/>
      <sz val="10"/>
    </font>
    <font>
      <name val="Meiryo UI"/>
      <b val="1"/>
      <sz val="10"/>
    </font>
    <font>
      <name val="Meiryo UI"/>
      <b val="1"/>
      <color rgb="007F6000"/>
      <sz val="12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F6000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vertical="top" wrapText="1"/>
    </xf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0" customWidth="1" min="4" max="4"/>
    <col width="26" customWidth="1" min="5" max="5"/>
  </cols>
  <sheetData>
    <row r="1">
      <c r="A1" s="1" t="inlineStr">
        <is>
          <t>サマリ</t>
        </is>
      </c>
    </row>
    <row r="2">
      <c r="A2" s="2" t="inlineStr">
        <is>
          <t>スタートアップ定義(収載基準)+③④の自動集計</t>
        </is>
      </c>
    </row>
    <row r="4">
      <c r="A4" s="3" t="inlineStr">
        <is>
          <t>A. スタートアップ定義(収載6基準)</t>
        </is>
      </c>
    </row>
    <row r="5">
      <c r="A5" s="4" t="inlineStr">
        <is>
          <t>#</t>
        </is>
      </c>
      <c r="B5" s="4" t="inlineStr">
        <is>
          <t>基準</t>
        </is>
      </c>
      <c r="C5" s="4" t="inlineStr">
        <is>
          <t>内容</t>
        </is>
      </c>
    </row>
    <row r="6">
      <c r="A6" s="5" t="n">
        <v>1</v>
      </c>
      <c r="B6" s="6" t="inlineStr">
        <is>
          <t>未上場</t>
        </is>
      </c>
      <c r="C6" s="6" t="inlineStr">
        <is>
          <t>上場企業・連結子会社・買収済みは除外(カーブアウトは可)</t>
        </is>
      </c>
      <c r="D6" s="7" t="n"/>
      <c r="E6" s="8" t="n"/>
    </row>
    <row r="7">
      <c r="A7" s="5" t="n">
        <v>2</v>
      </c>
      <c r="B7" s="6" t="inlineStr">
        <is>
          <t>設立年数</t>
        </is>
      </c>
      <c r="C7" s="6" t="inlineStr">
        <is>
          <t>10年以内(ディープテックは15年以内まで許容)</t>
        </is>
      </c>
      <c r="D7" s="7" t="n"/>
      <c r="E7" s="8" t="n"/>
    </row>
    <row r="8">
      <c r="A8" s="5" t="n">
        <v>3</v>
      </c>
      <c r="B8" s="6" t="inlineStr">
        <is>
          <t>外部資金調達</t>
        </is>
      </c>
      <c r="C8" s="6" t="inlineStr">
        <is>
          <t>エクイティ調達実績あり(国内は必須。助成金・融資のみは△)</t>
        </is>
      </c>
      <c r="D8" s="7" t="n"/>
      <c r="E8" s="8" t="n"/>
    </row>
    <row r="9">
      <c r="A9" s="5" t="n">
        <v>4</v>
      </c>
      <c r="B9" s="6" t="inlineStr">
        <is>
          <t>成長志向</t>
        </is>
      </c>
      <c r="C9" s="6" t="inlineStr">
        <is>
          <t>スケール可能な製品・サービス(受託専業は除外)</t>
        </is>
      </c>
      <c r="D9" s="7" t="n"/>
      <c r="E9" s="8" t="n"/>
    </row>
    <row r="10">
      <c r="A10" s="5" t="n">
        <v>5</v>
      </c>
      <c r="B10" s="6" t="inlineStr">
        <is>
          <t>規模</t>
        </is>
      </c>
      <c r="C10" s="6" t="inlineStr">
        <is>
          <t>従業員おおむね500名未満(目安)</t>
        </is>
      </c>
      <c r="D10" s="7" t="n"/>
      <c r="E10" s="8" t="n"/>
    </row>
    <row r="11">
      <c r="A11" s="5" t="n">
        <v>6</v>
      </c>
      <c r="B11" s="6" t="inlineStr">
        <is>
          <t>独立性</t>
        </is>
      </c>
      <c r="C11" s="6" t="inlineStr">
        <is>
          <t>大企業グループ中核子会社・JVは原則除外</t>
        </is>
      </c>
      <c r="D11" s="7" t="n"/>
      <c r="E11" s="8" t="n"/>
    </row>
    <row r="13">
      <c r="A13" s="3" t="inlineStr">
        <is>
          <t>B. スタートアップDB集計(業界分類×国内外)</t>
        </is>
      </c>
    </row>
    <row r="14">
      <c r="A14" s="4" t="inlineStr">
        <is>
          <t>業界分類</t>
        </is>
      </c>
      <c r="B14" s="4" t="inlineStr">
        <is>
          <t>国内</t>
        </is>
      </c>
      <c r="C14" s="4" t="inlineStr">
        <is>
          <t>海外</t>
        </is>
      </c>
      <c r="D14" s="4" t="inlineStr">
        <is>
          <t>合計</t>
        </is>
      </c>
    </row>
    <row r="15">
      <c r="A15" s="9" t="inlineStr">
        <is>
          <t>AI・データ基盤</t>
        </is>
      </c>
      <c r="B15" s="5">
        <f>COUNTIFS('③スタートアップDB'!C5:C5,A15,'③スタートアップDB'!G5:G5,"日本")</f>
        <v/>
      </c>
      <c r="C15" s="5">
        <f>COUNTIFS('③スタートアップDB'!C5:C5,A15)-B15</f>
        <v/>
      </c>
      <c r="D15" s="5">
        <f>B15+C15</f>
        <v/>
      </c>
    </row>
    <row r="16">
      <c r="A16" s="9" t="inlineStr">
        <is>
          <t>エンタープライズSaaS・業務DX</t>
        </is>
      </c>
      <c r="B16" s="5">
        <f>COUNTIFS('③スタートアップDB'!C5:C5,A16,'③スタートアップDB'!G5:G5,"日本")</f>
        <v/>
      </c>
      <c r="C16" s="5">
        <f>COUNTIFS('③スタートアップDB'!C5:C5,A16)-B16</f>
        <v/>
      </c>
      <c r="D16" s="5">
        <f>B16+C16</f>
        <v/>
      </c>
    </row>
    <row r="17">
      <c r="A17" s="9" t="inlineStr">
        <is>
          <t>フィンテック・保険</t>
        </is>
      </c>
      <c r="B17" s="5">
        <f>COUNTIFS('③スタートアップDB'!C5:C5,A17,'③スタートアップDB'!G5:G5,"日本")</f>
        <v/>
      </c>
      <c r="C17" s="5">
        <f>COUNTIFS('③スタートアップDB'!C5:C5,A17)-B17</f>
        <v/>
      </c>
      <c r="D17" s="5">
        <f>B17+C17</f>
        <v/>
      </c>
    </row>
    <row r="18">
      <c r="A18" s="9" t="inlineStr">
        <is>
          <t>ヘルスケア・医療機器</t>
        </is>
      </c>
      <c r="B18" s="5">
        <f>COUNTIFS('③スタートアップDB'!C5:C5,A18,'③スタートアップDB'!G5:G5,"日本")</f>
        <v/>
      </c>
      <c r="C18" s="5">
        <f>COUNTIFS('③スタートアップDB'!C5:C5,A18)-B18</f>
        <v/>
      </c>
      <c r="D18" s="5">
        <f>B18+C18</f>
        <v/>
      </c>
    </row>
    <row r="19">
      <c r="A19" s="9" t="inlineStr">
        <is>
          <t>バイオ・創薬</t>
        </is>
      </c>
      <c r="B19" s="5">
        <f>COUNTIFS('③スタートアップDB'!C5:C5,A19,'③スタートアップDB'!G5:G5,"日本")</f>
        <v/>
      </c>
      <c r="C19" s="5">
        <f>COUNTIFS('③スタートアップDB'!C5:C5,A19)-B19</f>
        <v/>
      </c>
      <c r="D19" s="5">
        <f>B19+C19</f>
        <v/>
      </c>
    </row>
    <row r="20">
      <c r="A20" s="9" t="inlineStr">
        <is>
          <t>モビリティ・自動車</t>
        </is>
      </c>
      <c r="B20" s="5">
        <f>COUNTIFS('③スタートアップDB'!C5:C5,A20,'③スタートアップDB'!G5:G5,"日本")</f>
        <v/>
      </c>
      <c r="C20" s="5">
        <f>COUNTIFS('③スタートアップDB'!C5:C5,A20)-B20</f>
        <v/>
      </c>
      <c r="D20" s="5">
        <f>B20+C20</f>
        <v/>
      </c>
    </row>
    <row r="21">
      <c r="A21" s="9" t="inlineStr">
        <is>
          <t>宇宙・航空・防衛</t>
        </is>
      </c>
      <c r="B21" s="5">
        <f>COUNTIFS('③スタートアップDB'!C5:C5,A21,'③スタートアップDB'!G5:G5,"日本")</f>
        <v/>
      </c>
      <c r="C21" s="5">
        <f>COUNTIFS('③スタートアップDB'!C5:C5,A21)-B21</f>
        <v/>
      </c>
      <c r="D21" s="5">
        <f>B21+C21</f>
        <v/>
      </c>
    </row>
    <row r="22">
      <c r="A22" s="9" t="inlineStr">
        <is>
          <t>エネルギー・クリーンテック</t>
        </is>
      </c>
      <c r="B22" s="5">
        <f>COUNTIFS('③スタートアップDB'!C5:C5,A22,'③スタートアップDB'!G5:G5,"日本")</f>
        <v/>
      </c>
      <c r="C22" s="5">
        <f>COUNTIFS('③スタートアップDB'!C5:C5,A22)-B22</f>
        <v/>
      </c>
      <c r="D22" s="5">
        <f>B22+C22</f>
        <v/>
      </c>
    </row>
    <row r="23">
      <c r="A23" s="9" t="inlineStr">
        <is>
          <t>素材・化学</t>
        </is>
      </c>
      <c r="B23" s="5">
        <f>COUNTIFS('③スタートアップDB'!C5:C5,A23,'③スタートアップDB'!G5:G5,"日本")</f>
        <v/>
      </c>
      <c r="C23" s="5">
        <f>COUNTIFS('③スタートアップDB'!C5:C5,A23)-B23</f>
        <v/>
      </c>
      <c r="D23" s="5">
        <f>B23+C23</f>
        <v/>
      </c>
    </row>
    <row r="24">
      <c r="A24" s="9" t="inlineStr">
        <is>
          <t>半導体・エレクトロニクス</t>
        </is>
      </c>
      <c r="B24" s="5">
        <f>COUNTIFS('③スタートアップDB'!C5:C5,A24,'③スタートアップDB'!G5:G5,"日本")</f>
        <v/>
      </c>
      <c r="C24" s="5">
        <f>COUNTIFS('③スタートアップDB'!C5:C5,A24)-B24</f>
        <v/>
      </c>
      <c r="D24" s="5">
        <f>B24+C24</f>
        <v/>
      </c>
    </row>
    <row r="25">
      <c r="A25" s="9" t="inlineStr">
        <is>
          <t>ロボティクス・ドローン</t>
        </is>
      </c>
      <c r="B25" s="5">
        <f>COUNTIFS('③スタートアップDB'!C5:C5,A25,'③スタートアップDB'!G5:G5,"日本")</f>
        <v/>
      </c>
      <c r="C25" s="5">
        <f>COUNTIFS('③スタートアップDB'!C5:C5,A25)-B25</f>
        <v/>
      </c>
      <c r="D25" s="5">
        <f>B25+C25</f>
        <v/>
      </c>
    </row>
    <row r="26">
      <c r="A26" s="9" t="inlineStr">
        <is>
          <t>製造DX・産業機器</t>
        </is>
      </c>
      <c r="B26" s="5">
        <f>COUNTIFS('③スタートアップDB'!C5:C5,A26,'③スタートアップDB'!G5:G5,"日本")</f>
        <v/>
      </c>
      <c r="C26" s="5">
        <f>COUNTIFS('③スタートアップDB'!C5:C5,A26)-B26</f>
        <v/>
      </c>
      <c r="D26" s="5">
        <f>B26+C26</f>
        <v/>
      </c>
    </row>
    <row r="27">
      <c r="A27" s="9" t="inlineStr">
        <is>
          <t>物流・サプライチェーン</t>
        </is>
      </c>
      <c r="B27" s="5">
        <f>COUNTIFS('③スタートアップDB'!C5:C5,A27,'③スタートアップDB'!G5:G5,"日本")</f>
        <v/>
      </c>
      <c r="C27" s="5">
        <f>COUNTIFS('③スタートアップDB'!C5:C5,A27)-B27</f>
        <v/>
      </c>
      <c r="D27" s="5">
        <f>B27+C27</f>
        <v/>
      </c>
    </row>
    <row r="28">
      <c r="A28" s="9" t="inlineStr">
        <is>
          <t>農業・食品</t>
        </is>
      </c>
      <c r="B28" s="5">
        <f>COUNTIFS('③スタートアップDB'!C5:C5,A28,'③スタートアップDB'!G5:G5,"日本")</f>
        <v/>
      </c>
      <c r="C28" s="5">
        <f>COUNTIFS('③スタートアップDB'!C5:C5,A28)-B28</f>
        <v/>
      </c>
      <c r="D28" s="5">
        <f>B28+C28</f>
        <v/>
      </c>
    </row>
    <row r="29">
      <c r="A29" s="9" t="inlineStr">
        <is>
          <t>建設・不動産・インフラ</t>
        </is>
      </c>
      <c r="B29" s="5">
        <f>COUNTIFS('③スタートアップDB'!C5:C5,A29,'③スタートアップDB'!G5:G5,"日本")</f>
        <v/>
      </c>
      <c r="C29" s="5">
        <f>COUNTIFS('③スタートアップDB'!C5:C5,A29)-B29</f>
        <v/>
      </c>
      <c r="D29" s="5">
        <f>B29+C29</f>
        <v/>
      </c>
    </row>
    <row r="30">
      <c r="A30" s="9" t="inlineStr">
        <is>
          <t>小売・EC・消費者サービス</t>
        </is>
      </c>
      <c r="B30" s="5">
        <f>COUNTIFS('③スタートアップDB'!C5:C5,A30,'③スタートアップDB'!G5:G5,"日本")</f>
        <v/>
      </c>
      <c r="C30" s="5">
        <f>COUNTIFS('③スタートアップDB'!C5:C5,A30)-B30</f>
        <v/>
      </c>
      <c r="D30" s="5">
        <f>B30+C30</f>
        <v/>
      </c>
    </row>
    <row r="31">
      <c r="A31" s="9" t="inlineStr">
        <is>
          <t>HR・教育</t>
        </is>
      </c>
      <c r="B31" s="5">
        <f>COUNTIFS('③スタートアップDB'!C5:C5,A31,'③スタートアップDB'!G5:G5,"日本")</f>
        <v/>
      </c>
      <c r="C31" s="5">
        <f>COUNTIFS('③スタートアップDB'!C5:C5,A31)-B31</f>
        <v/>
      </c>
      <c r="D31" s="5">
        <f>B31+C31</f>
        <v/>
      </c>
    </row>
    <row r="32">
      <c r="A32" s="9" t="inlineStr">
        <is>
          <t>セキュリティ・通信</t>
        </is>
      </c>
      <c r="B32" s="5">
        <f>COUNTIFS('③スタートアップDB'!C5:C5,A32,'③スタートアップDB'!G5:G5,"日本")</f>
        <v/>
      </c>
      <c r="C32" s="5">
        <f>COUNTIFS('③スタートアップDB'!C5:C5,A32)-B32</f>
        <v/>
      </c>
      <c r="D32" s="5">
        <f>B32+C32</f>
        <v/>
      </c>
    </row>
    <row r="33">
      <c r="A33" s="9" t="inlineStr">
        <is>
          <t>エンタメ・メディア・ゲーム</t>
        </is>
      </c>
      <c r="B33" s="5">
        <f>COUNTIFS('③スタートアップDB'!C5:C5,A33,'③スタートアップDB'!G5:G5,"日本")</f>
        <v/>
      </c>
      <c r="C33" s="5">
        <f>COUNTIFS('③スタートアップDB'!C5:C5,A33)-B33</f>
        <v/>
      </c>
      <c r="D33" s="5">
        <f>B33+C33</f>
        <v/>
      </c>
    </row>
    <row r="34">
      <c r="A34" s="9" t="inlineStr">
        <is>
          <t>その他</t>
        </is>
      </c>
      <c r="B34" s="5">
        <f>COUNTIFS('③スタートアップDB'!C5:C5,A34,'③スタートアップDB'!G5:G5,"日本")</f>
        <v/>
      </c>
      <c r="C34" s="5">
        <f>COUNTIFS('③スタートアップDB'!C5:C5,A34)-B34</f>
        <v/>
      </c>
      <c r="D34" s="5">
        <f>B34+C34</f>
        <v/>
      </c>
    </row>
    <row r="35">
      <c r="A35" s="10" t="inlineStr">
        <is>
          <t>合計</t>
        </is>
      </c>
      <c r="B35" s="11">
        <f>SUM(B15:B34)</f>
        <v/>
      </c>
      <c r="C35" s="11">
        <f>SUM(C15:C34)</f>
        <v/>
      </c>
      <c r="D35" s="11">
        <f>SUM(D15:D34)</f>
        <v/>
      </c>
    </row>
    <row r="36">
      <c r="A36" s="12" t="inlineStr">
        <is>
          <t>カバー分類数</t>
        </is>
      </c>
      <c r="B36" s="13">
        <f>SUMPRODUCT((D15:D34&gt;0)*1)</f>
        <v/>
      </c>
      <c r="C36" s="14" t="inlineStr">
        <is>
          <t>/ 20分類</t>
        </is>
      </c>
    </row>
    <row r="38">
      <c r="A38" s="3" t="inlineStr">
        <is>
          <t>C. 製造技術分類(追加タグ)の集計</t>
        </is>
      </c>
    </row>
    <row r="39">
      <c r="A39" s="4" t="inlineStr">
        <is>
          <t>製造技術分類</t>
        </is>
      </c>
      <c r="B39" s="4" t="inlineStr">
        <is>
          <t>件数</t>
        </is>
      </c>
    </row>
    <row r="40">
      <c r="A40" s="9" t="inlineStr">
        <is>
          <t>AI・データ(シミュレーション/CAE)</t>
        </is>
      </c>
      <c r="B40" s="5">
        <f>COUNTIF('③スタートアップDB'!D5:D5,A40)</f>
        <v/>
      </c>
    </row>
    <row r="41">
      <c r="A41" s="9" t="inlineStr">
        <is>
          <t>センシング</t>
        </is>
      </c>
      <c r="B41" s="5">
        <f>COUNTIF('③スタートアップDB'!D5:D5,A41)</f>
        <v/>
      </c>
    </row>
    <row r="42">
      <c r="A42" s="9" t="inlineStr">
        <is>
          <t>検査・品質</t>
        </is>
      </c>
      <c r="B42" s="5">
        <f>COUNTIF('③スタートアップDB'!D5:D5,A42)</f>
        <v/>
      </c>
    </row>
    <row r="43">
      <c r="A43" s="9" t="inlineStr">
        <is>
          <t>予知保全</t>
        </is>
      </c>
      <c r="B43" s="5">
        <f>COUNTIF('③スタートアップDB'!D5:D5,A43)</f>
        <v/>
      </c>
    </row>
    <row r="44">
      <c r="A44" s="9" t="inlineStr">
        <is>
          <t>ロボティクス・FA</t>
        </is>
      </c>
      <c r="B44" s="5">
        <f>COUNTIF('③スタートアップDB'!D5:D5,A44)</f>
        <v/>
      </c>
    </row>
    <row r="45">
      <c r="A45" s="9" t="inlineStr">
        <is>
          <t>エッジAI</t>
        </is>
      </c>
      <c r="B45" s="5">
        <f>COUNTIF('③スタートアップDB'!D5:D5,A45)</f>
        <v/>
      </c>
    </row>
    <row r="46">
      <c r="A46" s="9" t="inlineStr">
        <is>
          <t>材料・MI</t>
        </is>
      </c>
      <c r="B46" s="5">
        <f>COUNTIF('③スタートアップDB'!D5:D5,A46)</f>
        <v/>
      </c>
    </row>
    <row r="47">
      <c r="A47" s="9" t="inlineStr">
        <is>
          <t>熱・パワエレ</t>
        </is>
      </c>
      <c r="B47" s="5">
        <f>COUNTIF('③スタートアップDB'!D5:D5,A47)</f>
        <v/>
      </c>
    </row>
    <row r="48">
      <c r="A48" s="10" t="inlineStr">
        <is>
          <t>製造業関連 計</t>
        </is>
      </c>
      <c r="B48" s="11">
        <f>SUM(B40:B47)</f>
        <v/>
      </c>
    </row>
    <row r="50">
      <c r="A50" s="15" t="inlineStr">
        <is>
          <t>D. マッチングDB集計</t>
        </is>
      </c>
    </row>
    <row r="51">
      <c r="A51" s="16" t="inlineStr">
        <is>
          <t>項目</t>
        </is>
      </c>
      <c r="B51" s="16" t="inlineStr">
        <is>
          <t>値</t>
        </is>
      </c>
    </row>
    <row r="52">
      <c r="A52" s="9" t="inlineStr">
        <is>
          <t>マッチング件数</t>
        </is>
      </c>
      <c r="B52" s="5">
        <f>COUNTA('④マッチングDB'!A5:A5)</f>
        <v/>
      </c>
    </row>
    <row r="53">
      <c r="A53" s="17" t="inlineStr">
        <is>
          <t>ランクA</t>
        </is>
      </c>
      <c r="B53" s="5">
        <f>COUNTIF('④マッチングDB'!L5:L5,"A")</f>
        <v/>
      </c>
    </row>
    <row r="54">
      <c r="A54" s="10" t="inlineStr">
        <is>
          <t>ランクB</t>
        </is>
      </c>
      <c r="B54" s="5">
        <f>COUNTIF('④マッチングDB'!L5:L5,"B")</f>
        <v/>
      </c>
    </row>
    <row r="55">
      <c r="A55" s="18" t="inlineStr">
        <is>
          <t>ランクC</t>
        </is>
      </c>
      <c r="B55" s="5">
        <f>COUNTIF('④マッチングDB'!L5:L5,"C")</f>
        <v/>
      </c>
    </row>
    <row r="56">
      <c r="A56" s="12" t="inlineStr">
        <is>
          <t>選定方式(既定)</t>
        </is>
      </c>
      <c r="B56" s="6" t="inlineStr">
        <is>
          <t>マッチング件数はアセットごとの上位N選抜(既定: 各5〜10ペア)。選外の企業は『除外』ではなく『未採点』であり、スコアによる足切りは行っていない。fit=△の企業も自動除外しない(リスクは主要リスク欄に記載)。</t>
        </is>
      </c>
      <c r="C56" s="7" t="n"/>
      <c r="D56" s="7" t="n"/>
      <c r="E56" s="8" t="n"/>
    </row>
  </sheetData>
  <mergeCells count="7">
    <mergeCell ref="B56:E56"/>
    <mergeCell ref="C11:E11"/>
    <mergeCell ref="C8:E8"/>
    <mergeCell ref="C9:E9"/>
    <mergeCell ref="C7:E7"/>
    <mergeCell ref="C6:E6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44" customWidth="1" min="1" max="1"/>
    <col width="64" customWidth="1" min="2" max="2"/>
    <col width="44" customWidth="1" min="3" max="3"/>
  </cols>
  <sheetData>
    <row r="1">
      <c r="A1" s="1" t="inlineStr">
        <is>
          <t>項目定義</t>
        </is>
      </c>
    </row>
    <row r="2">
      <c r="A2" s="2" t="inlineStr">
        <is>
          <t>上段=スタートアップDB(40項目・事実のみ)/下段=マッチングDB(キー4列+本編30列+要約13列・評価)。詳細ルールはスキルSKILL.md。</t>
        </is>
      </c>
    </row>
    <row r="4">
      <c r="A4" s="3" t="inlineStr">
        <is>
          <t>A. スタートアップDB(40項目)</t>
        </is>
      </c>
    </row>
    <row r="5">
      <c r="A5" s="4" t="inlineStr">
        <is>
          <t>フィールド</t>
        </is>
      </c>
      <c r="B5" s="4" t="inlineStr">
        <is>
          <t>内容・記入ルール</t>
        </is>
      </c>
      <c r="C5" s="4" t="inlineStr">
        <is>
          <t>マッチングでの使われ方</t>
        </is>
      </c>
    </row>
    <row r="6">
      <c r="A6" s="19" t="inlineStr">
        <is>
          <t>startup_id</t>
        </is>
      </c>
      <c r="B6" s="6" t="inlineStr">
        <is>
          <t>一意ID(国内=法人番号、無ければjp-社名/海外=ドメイン)</t>
        </is>
      </c>
      <c r="C6" s="6" t="inlineStr">
        <is>
          <t>マッチングDBとの結合キー</t>
        </is>
      </c>
    </row>
    <row r="7">
      <c r="A7" s="19" t="inlineStr">
        <is>
          <t>業界分類</t>
        </is>
      </c>
      <c r="B7" s="6" t="inlineStr">
        <is>
          <t>20分類から1つ(包括的タクソノミー)</t>
        </is>
      </c>
      <c r="C7" s="6" t="inlineStr">
        <is>
          <t>突合①: 粗い絞り込み</t>
        </is>
      </c>
    </row>
    <row r="8">
      <c r="A8" s="19" t="inlineStr">
        <is>
          <t>製造技術分類</t>
        </is>
      </c>
      <c r="B8" s="6" t="inlineStr">
        <is>
          <t>8分類、製造業関連の場合のみ</t>
        </is>
      </c>
      <c r="C8" s="6" t="inlineStr">
        <is>
          <t>突合①: 製造系アセットの絞り込み</t>
        </is>
      </c>
    </row>
    <row r="9">
      <c r="A9" s="19" t="inlineStr">
        <is>
          <t>企業名/企業名(日)</t>
        </is>
      </c>
      <c r="B9" s="6" t="inlineStr">
        <is>
          <t>英名/日本語名(国内のみ)</t>
        </is>
      </c>
      <c r="C9" s="6" t="inlineStr">
        <is>
          <t>(識別)</t>
        </is>
      </c>
    </row>
    <row r="10">
      <c r="A10" s="19" t="inlineStr">
        <is>
          <t>国/都市</t>
        </is>
      </c>
      <c r="B10" s="6" t="inlineStr">
        <is>
          <t>国は日本語表記</t>
        </is>
      </c>
      <c r="C10" s="6" t="inlineStr">
        <is>
          <t>実現性評価: 地理</t>
        </is>
      </c>
    </row>
    <row r="11">
      <c r="A11" s="19" t="inlineStr">
        <is>
          <t>設立年/Webサイト/従業員</t>
        </is>
      </c>
      <c r="B11" s="6" t="inlineStr">
        <is>
          <t>事実のみ。従業員は「約N名(推定)」可</t>
        </is>
      </c>
      <c r="C11" s="6" t="inlineStr">
        <is>
          <t>定義判定・体制規模</t>
        </is>
      </c>
    </row>
    <row r="12">
      <c r="A12" s="19" t="inlineStr">
        <is>
          <t>ステージ(原文/統一)</t>
        </is>
      </c>
      <c r="B12" s="6" t="inlineStr">
        <is>
          <t>統一語彙: シード/シリーズA/B/C/D以降/グラント・デットのみ/不明</t>
        </is>
      </c>
      <c r="C12" s="6" t="inlineStr">
        <is>
          <t>協業タイプの当たり付け・集計</t>
        </is>
      </c>
    </row>
    <row r="13">
      <c r="A13" s="19" t="inlineStr">
        <is>
          <t>累計調達額/調達額USD(百万)</t>
        </is>
      </c>
      <c r="B13" s="6" t="inlineStr">
        <is>
          <t>原文表記+USD換算数値(合算・換算は明記)</t>
        </is>
      </c>
      <c r="C13" s="6" t="inlineStr">
        <is>
          <t>ソート・優先度付け</t>
        </is>
      </c>
    </row>
    <row r="14">
      <c r="A14" s="19" t="inlineStr">
        <is>
          <t>直近ラウンド/直近調達日</t>
        </is>
      </c>
      <c r="B14" s="6" t="inlineStr">
        <is>
          <t>「YYYY年M月・金額・ラウンド名」+ISO日付</t>
        </is>
      </c>
      <c r="C14" s="6" t="inlineStr">
        <is>
          <t>鮮度・勢い</t>
        </is>
      </c>
    </row>
    <row r="15">
      <c r="A15" s="19" t="inlineStr">
        <is>
          <t>主要投資家</t>
        </is>
      </c>
      <c r="B15" s="6" t="inlineStr">
        <is>
          <t>リード優先</t>
        </is>
      </c>
      <c r="C15" s="6" t="inlineStr">
        <is>
          <t>競合CVCの確認</t>
        </is>
      </c>
    </row>
    <row r="16">
      <c r="A16" s="19" t="inlineStr">
        <is>
          <t>事業概要/主要プロダクト/プロダクト概要</t>
        </is>
      </c>
      <c r="B16" s="6" t="inlineStr">
        <is>
          <t>日本語1-2文</t>
        </is>
      </c>
      <c r="C16" s="14" t="inlineStr">
        <is>
          <t>◎マッチング対象の実体</t>
        </is>
      </c>
    </row>
    <row r="17">
      <c r="A17" s="19" t="inlineStr">
        <is>
          <t>提供形態/収益モデル</t>
        </is>
      </c>
      <c r="B17" s="6" t="inlineStr">
        <is>
          <t>SaaS等/サブスク・部材販売等(収益の取り方)</t>
        </is>
      </c>
      <c r="C17" s="6" t="inlineStr">
        <is>
          <t>協業スキーム・商流設計</t>
        </is>
      </c>
    </row>
    <row r="18">
      <c r="A18" s="19" t="inlineStr">
        <is>
          <t>想定顧客/対象業界/主要顧客</t>
        </is>
      </c>
      <c r="B18" s="6" t="inlineStr">
        <is>
          <t>具体的な顧客像/業界リスト/公開情報のみ</t>
        </is>
      </c>
      <c r="C18" s="6" t="inlineStr">
        <is>
          <t>顧客候補型の判定・実績確認</t>
        </is>
      </c>
    </row>
    <row r="19">
      <c r="A19" s="19" t="inlineStr">
        <is>
          <t>課題</t>
        </is>
      </c>
      <c r="B19" s="6" t="inlineStr">
        <is>
          <t>その企業が解く顧客課題</t>
        </is>
      </c>
      <c r="C19" s="14" t="inlineStr">
        <is>
          <t>◎アセットの「提供価値」と対照</t>
        </is>
      </c>
    </row>
    <row r="20">
      <c r="A20" s="19" t="inlineStr">
        <is>
          <t>市場規模/詳細・CAGR/詳細</t>
        </is>
      </c>
      <c r="B20" s="6" t="inlineStr">
        <is>
          <t>出典レポートが確認できた場合のみ記入(null許容)</t>
        </is>
      </c>
      <c r="C20" s="6" t="inlineStr">
        <is>
          <t>市場規模・CAGRスコアの根拠</t>
        </is>
      </c>
    </row>
    <row r="21">
      <c r="A21" s="19" t="inlineStr">
        <is>
          <t>技術キーワード</t>
        </is>
      </c>
      <c r="B21" s="6" t="inlineStr">
        <is>
          <t>統制語彙+自由タグ、3-6個</t>
        </is>
      </c>
      <c r="C21" s="14" t="inlineStr">
        <is>
          <t>◎技術突合キー</t>
        </is>
      </c>
    </row>
    <row r="22">
      <c r="A22" s="19" t="inlineStr">
        <is>
          <t>コア技術</t>
        </is>
      </c>
      <c r="B22" s="6" t="inlineStr">
        <is>
          <t>方式・原理・定量性能のいずれか必須</t>
        </is>
      </c>
      <c r="C22" s="14" t="inlineStr">
        <is>
          <t>◎「使用するコア技術」の材料</t>
        </is>
      </c>
    </row>
    <row r="23">
      <c r="A23" s="19" t="inlineStr">
        <is>
          <t>差別化要素</t>
        </is>
      </c>
      <c r="B23" s="6" t="inlineStr">
        <is>
          <t>技術・事業の強み(受賞歴等は不可)</t>
        </is>
      </c>
      <c r="C23" s="6" t="inlineStr">
        <is>
          <t>競合/補完の判定</t>
        </is>
      </c>
    </row>
    <row r="24">
      <c r="A24" s="19" t="inlineStr">
        <is>
          <t>成熟度</t>
        </is>
      </c>
      <c r="B24" s="6" t="inlineStr">
        <is>
          <t>PoC/製品提供中/量産採用あり</t>
        </is>
      </c>
      <c r="C24" s="6" t="inlineStr">
        <is>
          <t>実現性評価</t>
        </is>
      </c>
    </row>
    <row r="25">
      <c r="A25" s="19" t="inlineStr">
        <is>
          <t>定義適合/適合注記</t>
        </is>
      </c>
      <c r="B25" s="6" t="inlineStr">
        <is>
          <t>○/△。△は定義6基準上の理由のみ</t>
        </is>
      </c>
      <c r="C25" s="6" t="inlineStr">
        <is>
          <t>足切り</t>
        </is>
      </c>
    </row>
    <row r="26">
      <c r="A26" s="19" t="inlineStr">
        <is>
          <t>主要リスク(事実)</t>
        </is>
      </c>
      <c r="B26" s="6" t="inlineStr">
        <is>
          <t>買収・訴訟・依存等の事実ベースのみ</t>
        </is>
      </c>
      <c r="C26" s="6" t="inlineStr">
        <is>
          <t>リスク評価の材料</t>
        </is>
      </c>
    </row>
    <row r="27">
      <c r="A27" s="19" t="inlineStr">
        <is>
          <t>出典URL/情報取得日/取得経路</t>
        </is>
      </c>
      <c r="B27" s="6" t="inlineStr">
        <is>
          <t>検証可能性と再現性の記録</t>
        </is>
      </c>
      <c r="C27" s="6" t="inlineStr">
        <is>
          <t>裏取り・鮮度管理</t>
        </is>
      </c>
    </row>
    <row r="29">
      <c r="A29" s="15" t="inlineStr">
        <is>
          <t>B. マッチングDB(キー4列+本編30列+要約ブロック13列)</t>
        </is>
      </c>
    </row>
    <row r="30">
      <c r="A30" s="16" t="inlineStr">
        <is>
          <t>列(グループ)</t>
        </is>
      </c>
      <c r="B30" s="16" t="inlineStr">
        <is>
          <t>内容・記入ルール</t>
        </is>
      </c>
    </row>
    <row r="31">
      <c r="A31" s="14" t="inlineStr">
        <is>
          <t>キー4列(スタートアップID/企業名/アセットID/協業タイプ)</t>
        </is>
      </c>
      <c r="B31" s="6" t="inlineStr">
        <is>
          <t>両DBへの結合キー。協業タイプ=技術提供・ライセンス/共同開発/調達・ツール導入/顧客候補/出資</t>
        </is>
      </c>
      <c r="C31" s="8" t="n"/>
    </row>
    <row r="32">
      <c r="A32" s="14" t="inlineStr">
        <is>
          <t>転記4列(事業概要/主要プロダクト/プロダクト概要/コア技術)</t>
        </is>
      </c>
      <c r="B32" s="6" t="inlineStr">
        <is>
          <t>③スタートアップDBからstartup_idで自動転記(Excel生成時)。マッチした相手の実体をこのシート内で確認できるようにするための参照列。手で書かない</t>
        </is>
      </c>
      <c r="C32" s="8" t="n"/>
    </row>
    <row r="33">
      <c r="A33" s="14" t="inlineStr">
        <is>
          <t>⑤アセット情報シート</t>
        </is>
      </c>
      <c r="B33" s="6" t="inlineStr">
        <is>
          <t>マッチングに使用したアセットの全情報(名称/成熟度/概要/スペック/機能分解/拡張可能性/NG条件)を転記して保存。build_startup_db.py --assets で生成</t>
        </is>
      </c>
      <c r="C33" s="8" t="n"/>
    </row>
    <row r="34">
      <c r="A34" s="14" t="inlineStr">
        <is>
          <t>No/タイトル/タグ/概要</t>
        </is>
      </c>
      <c r="B34" s="6" t="inlineStr">
        <is>
          <t>協業アイデアの識別・要約(概要=アセットの何を相手の何と組み合わせ何を生むか)</t>
        </is>
      </c>
      <c r="C34" s="8" t="n"/>
    </row>
    <row r="35">
      <c r="A35" s="14" t="inlineStr">
        <is>
          <t>市場規模(一覧)/CAGR(一覧)/市場規模詳細/CAGR詳細</t>
        </is>
      </c>
      <c r="B35" s="6" t="inlineStr">
        <is>
          <t>スタートアップDBから転記(協業固有の市場ならその値・出典必須)</t>
        </is>
      </c>
      <c r="C35" s="8" t="n"/>
    </row>
    <row r="36">
      <c r="A36" s="14" t="inlineStr">
        <is>
          <t>総合スコア(一覧)/総合評価スコア</t>
        </is>
      </c>
      <c r="B36" s="6" t="inlineStr">
        <is>
          <t>同値(一覧表示用と詳細用)。スコア10種の加重平均・0-10・小数1桁</t>
        </is>
      </c>
      <c r="C36" s="8" t="n"/>
    </row>
    <row r="37">
      <c r="A37" s="14" t="inlineStr">
        <is>
          <t>自己評価ランク</t>
        </is>
      </c>
      <c r="B37" s="6" t="inlineStr">
        <is>
          <t>総合評価スコアから自動導出: A=8.0以上/B=6.0〜7.9/C=6.0未満</t>
        </is>
      </c>
      <c r="C37" s="8" t="n"/>
    </row>
    <row r="38">
      <c r="A38" s="14" t="inlineStr">
        <is>
          <t>想定顧客/課題/解決方法/収益モデル/アイデアの強み</t>
        </is>
      </c>
      <c r="B38" s="6" t="inlineStr">
        <is>
          <t>協業アイデアとしての記述(主語=アセット×スタートアップ)</t>
        </is>
      </c>
      <c r="C38" s="8" t="n"/>
    </row>
    <row r="39">
      <c r="A39" s="14" t="inlineStr">
        <is>
          <t>使用するコア技術</t>
        </is>
      </c>
      <c r="B39" s="6" t="inlineStr">
        <is>
          <t>「アセット側: …/スタートアップ側: …」の形式で両方明記</t>
        </is>
      </c>
      <c r="C39" s="8" t="n"/>
    </row>
    <row r="40">
      <c r="A40" s="14" t="inlineStr">
        <is>
          <t>スコア9種(各0-10の数値)</t>
        </is>
      </c>
      <c r="B40" s="6" t="inlineStr">
        <is>
          <t>差別化(補完性含む: 相手と重複=競合=低)/技術実現性/アセット適合性/業界優位性/業界課題フィット/新規性/ミッション整合性/市場規模/CAGR。※「8/10」等の文字列は日付化するため禁止</t>
        </is>
      </c>
      <c r="C40" s="8" t="n"/>
    </row>
    <row r="41">
      <c r="A41" s="14" t="inlineStr">
        <is>
          <t>未使用理由・採用障壁/コア機能の改善点</t>
        </is>
      </c>
      <c r="B41" s="6" t="inlineStr">
        <is>
          <t>アセットの制約条件・協業の障壁/協業で埋めるべきギャップ</t>
        </is>
      </c>
      <c r="C41" s="8" t="n"/>
    </row>
    <row r="42">
      <c r="A42" s="14" t="inlineStr">
        <is>
          <t>エージェントの思考根拠</t>
        </is>
      </c>
      <c r="B42" s="6" t="inlineStr">
        <is>
          <t>スコアの根拠。事実(両者の技術・実績・出典)のみ引用</t>
        </is>
      </c>
      <c r="C42" s="8" t="n"/>
    </row>
    <row r="43">
      <c r="A43" s="14" t="inlineStr">
        <is>
          <t>主要リスク</t>
        </is>
      </c>
      <c r="B43" s="6" t="inlineStr">
        <is>
          <t>協業アイデアのリスク(評価)</t>
        </is>
      </c>
      <c r="C43" s="8" t="n"/>
    </row>
    <row r="44">
      <c r="A44" s="14" t="inlineStr">
        <is>
          <t>要約ブロック13列(要約_コンセプト〜要約_成長性スコア)</t>
        </is>
      </c>
      <c r="B44" s="6" t="inlineStr">
        <is>
          <t>一覧・他システム連携用の凝縮表記。コンセプト/想定市場/顧客/課題/解決方法/市場規模/CAGR/独自性/ミッション整合(各1文以内)+スコア4種(独自性/ミッション整合/市場規模/成長性、0-10数値)。本編列の内容を要約したもので矛盾させないこと</t>
        </is>
      </c>
      <c r="C44" s="8" t="n"/>
    </row>
  </sheetData>
  <mergeCells count="14">
    <mergeCell ref="B39:C39"/>
    <mergeCell ref="B38:C38"/>
    <mergeCell ref="B44:C44"/>
    <mergeCell ref="B33:C33"/>
    <mergeCell ref="B34:C34"/>
    <mergeCell ref="B37:C37"/>
    <mergeCell ref="B42:C42"/>
    <mergeCell ref="B36:C36"/>
    <mergeCell ref="B32:C32"/>
    <mergeCell ref="B31:C31"/>
    <mergeCell ref="B40:C40"/>
    <mergeCell ref="B41:C41"/>
    <mergeCell ref="B35:C35"/>
    <mergeCell ref="B43:C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16" customWidth="1" min="4" max="4"/>
    <col width="22" customWidth="1" min="5" max="5"/>
    <col width="20" customWidth="1" min="6" max="6"/>
    <col width="10" customWidth="1" min="7" max="7"/>
    <col width="13" customWidth="1" min="8" max="8"/>
    <col width="8" customWidth="1" min="9" max="9"/>
    <col width="24" customWidth="1" min="10" max="10"/>
    <col width="12" customWidth="1" min="11" max="11"/>
    <col width="16" customWidth="1" min="12" max="12"/>
    <col width="13" customWidth="1" min="13" max="13"/>
    <col width="18" customWidth="1" min="14" max="14"/>
    <col width="12" customWidth="1" min="15" max="15"/>
    <col width="30" customWidth="1" min="16" max="16"/>
    <col width="11" customWidth="1" min="17" max="17"/>
    <col width="28" customWidth="1" min="18" max="18"/>
    <col width="42" customWidth="1" min="19" max="19"/>
    <col width="20" customWidth="1" min="20" max="20"/>
    <col width="42" customWidth="1" min="21" max="21"/>
    <col width="18" customWidth="1" min="22" max="22"/>
    <col width="20" customWidth="1" min="23" max="23"/>
    <col width="30" customWidth="1" min="24" max="24"/>
    <col width="20" customWidth="1" min="25" max="25"/>
    <col width="24" customWidth="1" min="26" max="26"/>
    <col width="40" customWidth="1" min="27" max="27"/>
    <col width="16" customWidth="1" min="28" max="28"/>
    <col width="34" customWidth="1" min="29" max="29"/>
    <col width="12" customWidth="1" min="30" max="30"/>
    <col width="30" customWidth="1" min="31" max="31"/>
    <col width="26" customWidth="1" min="32" max="32"/>
    <col width="42" customWidth="1" min="33" max="33"/>
    <col width="38" customWidth="1" min="34" max="34"/>
    <col width="16" customWidth="1" min="35" max="35"/>
    <col width="8" customWidth="1" min="36" max="36"/>
    <col width="22" customWidth="1" min="37" max="37"/>
    <col width="30" customWidth="1" min="38" max="38"/>
    <col width="28" customWidth="1" min="39" max="39"/>
    <col width="11" customWidth="1" min="40" max="40"/>
    <col width="13" customWidth="1" min="41" max="41"/>
  </cols>
  <sheetData>
    <row r="1">
      <c r="A1" s="1" t="inlineStr">
        <is>
          <t>スタートアップDB(0社)</t>
        </is>
      </c>
    </row>
    <row r="2">
      <c r="A2" s="2" t="inlineStr">
        <is>
          <t>アセット非依存のマスタDB(事実のみ)。評価・マッチングは④マッチングDBで管理。</t>
        </is>
      </c>
    </row>
    <row r="4">
      <c r="A4" s="4" t="inlineStr">
        <is>
          <t>No</t>
        </is>
      </c>
      <c r="B4" s="4" t="inlineStr">
        <is>
          <t>スタートアップID</t>
        </is>
      </c>
      <c r="C4" s="4" t="inlineStr">
        <is>
          <t>業界分類</t>
        </is>
      </c>
      <c r="D4" s="4" t="inlineStr">
        <is>
          <t>製造技術分類</t>
        </is>
      </c>
      <c r="E4" s="4" t="inlineStr">
        <is>
          <t>企業名</t>
        </is>
      </c>
      <c r="F4" s="4" t="inlineStr">
        <is>
          <t>企業名(日)</t>
        </is>
      </c>
      <c r="G4" s="4" t="inlineStr">
        <is>
          <t>国</t>
        </is>
      </c>
      <c r="H4" s="4" t="inlineStr">
        <is>
          <t>都市</t>
        </is>
      </c>
      <c r="I4" s="4" t="inlineStr">
        <is>
          <t>設立年</t>
        </is>
      </c>
      <c r="J4" s="4" t="inlineStr">
        <is>
          <t>Webサイト</t>
        </is>
      </c>
      <c r="K4" s="4" t="inlineStr">
        <is>
          <t>従業員(概算)</t>
        </is>
      </c>
      <c r="L4" s="4" t="inlineStr">
        <is>
          <t>ステージ(原文)</t>
        </is>
      </c>
      <c r="M4" s="4" t="inlineStr">
        <is>
          <t>ステージ(統一)</t>
        </is>
      </c>
      <c r="N4" s="4" t="inlineStr">
        <is>
          <t>累計調達額</t>
        </is>
      </c>
      <c r="O4" s="4" t="inlineStr">
        <is>
          <t>調達額USD(百万)</t>
        </is>
      </c>
      <c r="P4" s="4" t="inlineStr">
        <is>
          <t>直近ラウンド</t>
        </is>
      </c>
      <c r="Q4" s="4" t="inlineStr">
        <is>
          <t>直近調達日</t>
        </is>
      </c>
      <c r="R4" s="4" t="inlineStr">
        <is>
          <t>主要投資家</t>
        </is>
      </c>
      <c r="S4" s="4" t="inlineStr">
        <is>
          <t>事業概要</t>
        </is>
      </c>
      <c r="T4" s="4" t="inlineStr">
        <is>
          <t>主要プロダクト</t>
        </is>
      </c>
      <c r="U4" s="4" t="inlineStr">
        <is>
          <t>プロダクト概要</t>
        </is>
      </c>
      <c r="V4" s="4" t="inlineStr">
        <is>
          <t>提供形態</t>
        </is>
      </c>
      <c r="W4" s="4" t="inlineStr">
        <is>
          <t>収益モデル</t>
        </is>
      </c>
      <c r="X4" s="4" t="inlineStr">
        <is>
          <t>想定顧客</t>
        </is>
      </c>
      <c r="Y4" s="4" t="inlineStr">
        <is>
          <t>対象業界</t>
        </is>
      </c>
      <c r="Z4" s="4" t="inlineStr">
        <is>
          <t>主要顧客・パートナー</t>
        </is>
      </c>
      <c r="AA4" s="4" t="inlineStr">
        <is>
          <t>課題</t>
        </is>
      </c>
      <c r="AB4" s="4" t="inlineStr">
        <is>
          <t>市場規模</t>
        </is>
      </c>
      <c r="AC4" s="4" t="inlineStr">
        <is>
          <t>市場規模詳細</t>
        </is>
      </c>
      <c r="AD4" s="4" t="inlineStr">
        <is>
          <t>CAGR</t>
        </is>
      </c>
      <c r="AE4" s="4" t="inlineStr">
        <is>
          <t>CAGR詳細</t>
        </is>
      </c>
      <c r="AF4" s="4" t="inlineStr">
        <is>
          <t>技術キーワード</t>
        </is>
      </c>
      <c r="AG4" s="4" t="inlineStr">
        <is>
          <t>コア技術</t>
        </is>
      </c>
      <c r="AH4" s="4" t="inlineStr">
        <is>
          <t>差別化要素</t>
        </is>
      </c>
      <c r="AI4" s="4" t="inlineStr">
        <is>
          <t>成熟度</t>
        </is>
      </c>
      <c r="AJ4" s="4" t="inlineStr">
        <is>
          <t>定義適合</t>
        </is>
      </c>
      <c r="AK4" s="4" t="inlineStr">
        <is>
          <t>適合注記</t>
        </is>
      </c>
      <c r="AL4" s="4" t="inlineStr">
        <is>
          <t>主要リスク(事実)</t>
        </is>
      </c>
      <c r="AM4" s="4" t="inlineStr">
        <is>
          <t>出典URL</t>
        </is>
      </c>
      <c r="AN4" s="4" t="inlineStr">
        <is>
          <t>情報取得日</t>
        </is>
      </c>
      <c r="AO4" s="4" t="inlineStr">
        <is>
          <t>取得経路</t>
        </is>
      </c>
    </row>
  </sheetData>
  <autoFilter ref="A4:AO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40" customWidth="1" min="3" max="3"/>
    <col width="20" customWidth="1" min="4" max="4"/>
    <col width="40" customWidth="1" min="5" max="5"/>
    <col width="40" customWidth="1" min="6" max="6"/>
    <col width="26" customWidth="1" min="7" max="7"/>
    <col width="16" customWidth="1" min="8" max="8"/>
    <col width="5" customWidth="1" min="9" max="9"/>
    <col width="30" customWidth="1" min="10" max="10"/>
    <col width="24" customWidth="1" min="11" max="11"/>
    <col width="44" customWidth="1" min="12" max="12"/>
    <col width="14" customWidth="1" min="13" max="13"/>
    <col width="11" customWidth="1" min="14" max="14"/>
    <col width="10" customWidth="1" min="15" max="15"/>
    <col width="9" customWidth="1" min="16" max="16"/>
    <col width="30" customWidth="1" min="17" max="17"/>
    <col width="38" customWidth="1" min="18" max="18"/>
    <col width="44" customWidth="1" min="19" max="19"/>
    <col width="28" customWidth="1" min="20" max="20"/>
    <col width="38" customWidth="1" min="21" max="21"/>
    <col width="42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34" customWidth="1" min="28" max="28"/>
    <col width="34" customWidth="1" min="29" max="29"/>
    <col width="8" customWidth="1" min="30" max="30"/>
    <col width="8" customWidth="1" min="31" max="31"/>
    <col width="30" customWidth="1" min="32" max="32"/>
    <col width="8" customWidth="1" min="33" max="33"/>
    <col width="28" customWidth="1" min="34" max="34"/>
    <col width="8" customWidth="1" min="35" max="35"/>
    <col width="10" customWidth="1" min="36" max="36"/>
    <col width="46" customWidth="1" min="37" max="37"/>
    <col width="38" customWidth="1" min="38" max="38"/>
    <col width="26" customWidth="1" min="39" max="39"/>
    <col width="22" customWidth="1" min="40" max="40"/>
    <col width="24" customWidth="1" min="41" max="41"/>
    <col width="30" customWidth="1" min="42" max="42"/>
    <col width="34" customWidth="1" min="43" max="43"/>
    <col width="18" customWidth="1" min="44" max="44"/>
    <col width="12" customWidth="1" min="45" max="45"/>
    <col width="30" customWidth="1" min="46" max="46"/>
    <col width="28" customWidth="1" min="47" max="47"/>
    <col width="8" customWidth="1" min="48" max="48"/>
    <col width="8" customWidth="1" min="49" max="49"/>
    <col width="8" customWidth="1" min="50" max="50"/>
    <col width="8" customWidth="1" min="51" max="51"/>
  </cols>
  <sheetData>
    <row r="1">
      <c r="A1" s="1" t="inlineStr">
        <is>
          <t>マッチングDB(0件)</t>
        </is>
      </c>
    </row>
    <row r="2">
      <c r="A2" s="2" t="inlineStr">
        <is>
          <t>アセット×スタートアップの協業アイデア評価(アイデア評価DB互換フォーマット)。スコアは0-10の数値。ランクは総合評価スコアから自動導出(A&gt;=8.0/B&gt;=6.0/C&lt;6.0)。</t>
        </is>
      </c>
    </row>
    <row r="4">
      <c r="A4" s="16" t="inlineStr">
        <is>
          <t>スタートアップID</t>
        </is>
      </c>
      <c r="B4" s="16" t="inlineStr">
        <is>
          <t>企業名</t>
        </is>
      </c>
      <c r="C4" s="16" t="inlineStr">
        <is>
          <t>事業概要</t>
        </is>
      </c>
      <c r="D4" s="16" t="inlineStr">
        <is>
          <t>主要プロダクト</t>
        </is>
      </c>
      <c r="E4" s="16" t="inlineStr">
        <is>
          <t>プロダクト概要</t>
        </is>
      </c>
      <c r="F4" s="16" t="inlineStr">
        <is>
          <t>コア技術</t>
        </is>
      </c>
      <c r="G4" s="16" t="inlineStr">
        <is>
          <t>アセットID(名)</t>
        </is>
      </c>
      <c r="H4" s="16" t="inlineStr">
        <is>
          <t>協業タイプ</t>
        </is>
      </c>
      <c r="I4" s="16" t="inlineStr">
        <is>
          <t>No</t>
        </is>
      </c>
      <c r="J4" s="16" t="inlineStr">
        <is>
          <t>タイトル</t>
        </is>
      </c>
      <c r="K4" s="16" t="inlineStr">
        <is>
          <t>タグ</t>
        </is>
      </c>
      <c r="L4" s="16" t="inlineStr">
        <is>
          <t>概要</t>
        </is>
      </c>
      <c r="M4" s="16" t="inlineStr">
        <is>
          <t>市場規模(一覧)</t>
        </is>
      </c>
      <c r="N4" s="16" t="inlineStr">
        <is>
          <t>CAGR(一覧)</t>
        </is>
      </c>
      <c r="O4" s="16" t="inlineStr">
        <is>
          <t>総合スコア(一覧)</t>
        </is>
      </c>
      <c r="P4" s="16" t="inlineStr">
        <is>
          <t>自己評価ランク</t>
        </is>
      </c>
      <c r="Q4" s="16" t="inlineStr">
        <is>
          <t>想定顧客</t>
        </is>
      </c>
      <c r="R4" s="16" t="inlineStr">
        <is>
          <t>課題</t>
        </is>
      </c>
      <c r="S4" s="16" t="inlineStr">
        <is>
          <t>解決方法</t>
        </is>
      </c>
      <c r="T4" s="16" t="inlineStr">
        <is>
          <t>収益モデル</t>
        </is>
      </c>
      <c r="U4" s="16" t="inlineStr">
        <is>
          <t>アイデアの強み</t>
        </is>
      </c>
      <c r="V4" s="16" t="inlineStr">
        <is>
          <t>使用するコア技術</t>
        </is>
      </c>
      <c r="W4" s="16" t="inlineStr">
        <is>
          <t>差別化スコア</t>
        </is>
      </c>
      <c r="X4" s="16" t="inlineStr">
        <is>
          <t>技術実現性スコア</t>
        </is>
      </c>
      <c r="Y4" s="16" t="inlineStr">
        <is>
          <t>アセット適合性スコア</t>
        </is>
      </c>
      <c r="Z4" s="16" t="inlineStr">
        <is>
          <t>業界優位性スコア</t>
        </is>
      </c>
      <c r="AA4" s="16" t="inlineStr">
        <is>
          <t>業界課題フィットスコア</t>
        </is>
      </c>
      <c r="AB4" s="16" t="inlineStr">
        <is>
          <t>未使用理由・採用障壁</t>
        </is>
      </c>
      <c r="AC4" s="16" t="inlineStr">
        <is>
          <t>コア機能の改善点</t>
        </is>
      </c>
      <c r="AD4" s="16" t="inlineStr">
        <is>
          <t>新規性スコア</t>
        </is>
      </c>
      <c r="AE4" s="16" t="inlineStr">
        <is>
          <t>ミッション整合性スコア</t>
        </is>
      </c>
      <c r="AF4" s="16" t="inlineStr">
        <is>
          <t>市場規模詳細</t>
        </is>
      </c>
      <c r="AG4" s="16" t="inlineStr">
        <is>
          <t>市場規模スコア</t>
        </is>
      </c>
      <c r="AH4" s="16" t="inlineStr">
        <is>
          <t>CAGR詳細</t>
        </is>
      </c>
      <c r="AI4" s="16" t="inlineStr">
        <is>
          <t>CAGRスコア</t>
        </is>
      </c>
      <c r="AJ4" s="16" t="inlineStr">
        <is>
          <t>総合評価スコア</t>
        </is>
      </c>
      <c r="AK4" s="16" t="inlineStr">
        <is>
          <t>エージェントの思考根拠</t>
        </is>
      </c>
      <c r="AL4" s="16" t="inlineStr">
        <is>
          <t>主要リスク</t>
        </is>
      </c>
      <c r="AM4" s="16" t="inlineStr">
        <is>
          <t>要約_コンセプト</t>
        </is>
      </c>
      <c r="AN4" s="16" t="inlineStr">
        <is>
          <t>要約_想定市場</t>
        </is>
      </c>
      <c r="AO4" s="16" t="inlineStr">
        <is>
          <t>要約_顧客</t>
        </is>
      </c>
      <c r="AP4" s="16" t="inlineStr">
        <is>
          <t>要約_課題</t>
        </is>
      </c>
      <c r="AQ4" s="16" t="inlineStr">
        <is>
          <t>要約_解決方法</t>
        </is>
      </c>
      <c r="AR4" s="16" t="inlineStr">
        <is>
          <t>要約_市場規模</t>
        </is>
      </c>
      <c r="AS4" s="16" t="inlineStr">
        <is>
          <t>要約_CAGR</t>
        </is>
      </c>
      <c r="AT4" s="16" t="inlineStr">
        <is>
          <t>要約_独自性</t>
        </is>
      </c>
      <c r="AU4" s="16" t="inlineStr">
        <is>
          <t>要約_ミッション整合</t>
        </is>
      </c>
      <c r="AV4" s="16" t="inlineStr">
        <is>
          <t>要約_独自性スコア</t>
        </is>
      </c>
      <c r="AW4" s="16" t="inlineStr">
        <is>
          <t>要約_ミッション整合スコア</t>
        </is>
      </c>
      <c r="AX4" s="16" t="inlineStr">
        <is>
          <t>要約_市場規模スコア</t>
        </is>
      </c>
      <c r="AY4" s="16" t="inlineStr">
        <is>
          <t>要約_成長性スコア</t>
        </is>
      </c>
    </row>
  </sheetData>
  <autoFilter ref="A4:AY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2026-07-07T02:44:23Z</dcterms:created>
  <dcterms:modified xmlns:dcterms="http://purl.org/dc/terms/" xmlns:xsi="http://www.w3.org/2001/XMLSchema-instance" xsi:type="dcterms:W3CDTF">2026-07-07T02:44:23Z</dcterms:modified>
</cp:coreProperties>
</file>